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6e327b93913c047/Desktop/"/>
    </mc:Choice>
  </mc:AlternateContent>
  <xr:revisionPtr revIDLastSave="128" documentId="8_{255DDA58-B8F0-4DA9-9842-F736A8E69B70}" xr6:coauthVersionLast="47" xr6:coauthVersionMax="47" xr10:uidLastSave="{24034AD3-DEBF-4B40-9DAD-1E1A046FB779}"/>
  <bookViews>
    <workbookView xWindow="-110" yWindow="-110" windowWidth="19420" windowHeight="11500" xr2:uid="{0E020BBE-65F7-4622-B4B9-D4D68F80CA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2" i="1" l="1"/>
  <c r="Q2" i="1"/>
  <c r="O3" i="1"/>
  <c r="P3" i="1"/>
  <c r="Q3" i="1"/>
  <c r="O4" i="1"/>
  <c r="P4" i="1"/>
  <c r="Q4" i="1"/>
  <c r="O5" i="1"/>
  <c r="P5" i="1"/>
  <c r="Q5" i="1"/>
  <c r="O6" i="1"/>
  <c r="P6" i="1"/>
  <c r="Q6" i="1"/>
  <c r="O7" i="1"/>
  <c r="P7" i="1"/>
  <c r="Q7" i="1"/>
  <c r="O8" i="1"/>
  <c r="P8" i="1"/>
  <c r="Q8" i="1"/>
  <c r="O9" i="1"/>
  <c r="P9" i="1"/>
  <c r="Q9" i="1"/>
  <c r="O10" i="1"/>
  <c r="P10" i="1"/>
  <c r="Q10" i="1"/>
  <c r="O11" i="1"/>
  <c r="P11" i="1"/>
  <c r="Q11" i="1"/>
  <c r="O12" i="1"/>
  <c r="P12" i="1"/>
  <c r="Q12" i="1"/>
  <c r="O13" i="1"/>
  <c r="P13" i="1"/>
  <c r="Q13" i="1"/>
  <c r="O14" i="1"/>
  <c r="P14" i="1"/>
  <c r="Q14" i="1"/>
  <c r="O15" i="1"/>
  <c r="P15" i="1"/>
  <c r="Q15" i="1"/>
  <c r="O16" i="1"/>
  <c r="P16" i="1"/>
  <c r="Q16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  <c r="O2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<sst xmlns="http://schemas.openxmlformats.org/spreadsheetml/2006/main" count="63" uniqueCount="49">
  <si>
    <t>Company Name</t>
  </si>
  <si>
    <t>Ticker</t>
  </si>
  <si>
    <t>Sector</t>
  </si>
  <si>
    <t>Market Capitalization</t>
  </si>
  <si>
    <t>Enterprise Value</t>
  </si>
  <si>
    <t>Revenue (LTM)</t>
  </si>
  <si>
    <t>EBITDA</t>
  </si>
  <si>
    <t>Net Income</t>
  </si>
  <si>
    <t>EPS</t>
  </si>
  <si>
    <t>Revenue Growth YoY</t>
  </si>
  <si>
    <t>EBITDA Margin</t>
  </si>
  <si>
    <t>Xylo Dynamics</t>
  </si>
  <si>
    <t>XYZ</t>
  </si>
  <si>
    <t>Technology</t>
  </si>
  <si>
    <t>Dogwood Systems</t>
  </si>
  <si>
    <t>DOG</t>
  </si>
  <si>
    <t>NovaGrid</t>
  </si>
  <si>
    <t>NVG</t>
  </si>
  <si>
    <t>BlueFox Software</t>
  </si>
  <si>
    <t>BFX</t>
  </si>
  <si>
    <t>TitanCloud</t>
  </si>
  <si>
    <t>TCL</t>
  </si>
  <si>
    <t>Apex Data</t>
  </si>
  <si>
    <t>APX</t>
  </si>
  <si>
    <t>Quantum Byte</t>
  </si>
  <si>
    <t>QBT</t>
  </si>
  <si>
    <t>Orion Tech</t>
  </si>
  <si>
    <t>ORN</t>
  </si>
  <si>
    <t>Falcon AI</t>
  </si>
  <si>
    <t>FAL</t>
  </si>
  <si>
    <t>EchoSoft</t>
  </si>
  <si>
    <t>ECH</t>
  </si>
  <si>
    <t>MetroLink</t>
  </si>
  <si>
    <t>MTL</t>
  </si>
  <si>
    <t>Zenith Networks</t>
  </si>
  <si>
    <t>ZEN</t>
  </si>
  <si>
    <t>PixelWorks</t>
  </si>
  <si>
    <t>PXL</t>
  </si>
  <si>
    <t>RapidWare</t>
  </si>
  <si>
    <t>RPD</t>
  </si>
  <si>
    <t>SkyVault</t>
  </si>
  <si>
    <t>SKY</t>
  </si>
  <si>
    <t>Share Price</t>
  </si>
  <si>
    <t>Shares Outstanding</t>
  </si>
  <si>
    <t>Net Debt</t>
  </si>
  <si>
    <t>P/E</t>
  </si>
  <si>
    <t>EV/Revenue</t>
  </si>
  <si>
    <t>EV/EBITDA</t>
  </si>
  <si>
    <t>Net Income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</si>
</sst>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&quot;x&quot;"/>
    <numFmt numFmtId="165" formatCode="0.0%"/>
    <numFmt numFmtId="166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0" fontId="0" fillId="0" borderId="0" xfId="0" applyNumberFormat="1"/>
    <xf numFmtId="0" fontId="1" fillId="0" borderId="0" xfId="0" applyFont="1"/>
    <xf numFmtId="2" fontId="0" fillId="0" borderId="0" xfId="0" applyNumberFormat="1"/>
    <xf numFmtId="3" fontId="0" fillId="0" borderId="0" xfId="0" applyNumberFormat="1"/>
    <xf numFmtId="0" fontId="2" fillId="2" borderId="0" xfId="0" applyFont="1" applyFill="1"/>
    <xf numFmtId="164" fontId="3" fillId="2" borderId="0" xfId="0" applyNumberFormat="1" applyFont="1" applyFill="1"/>
    <xf numFmtId="165" fontId="3" fillId="2" borderId="0" xfId="0" applyNumberFormat="1" applyFont="1" applyFill="1"/>
    <xf numFmtId="166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4030AD0-71B4-47D7-883B-6F877E848E71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1c3aa36e-7e94-41d1-92c0-f0d0f32bbad4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0CB82-7D5C-49B3-A951-62946CC2A7C2}">
  <dimension ref="A1:R16"/>
  <sheetViews>
    <sheetView tabSelected="1" topLeftCell="D1" zoomScale="74" workbookViewId="0">
      <selection activeCell="O1" sqref="O1"/>
    </sheetView>
  </sheetViews>
  <sheetFormatPr defaultRowHeight="14.5" x14ac:dyDescent="0.35"/>
  <cols>
    <col min="10" max="10" width="11.90625" bestFit="1" customWidth="1"/>
  </cols>
  <sheetData>
    <row r="1" spans="1:18" x14ac:dyDescent="0.35">
      <c r="A1" s="2" t="s">
        <v>0</v>
      </c>
      <c r="B1" s="2" t="s">
        <v>1</v>
      </c>
      <c r="C1" s="2" t="s">
        <v>2</v>
      </c>
      <c r="D1" s="2" t="s">
        <v>42</v>
      </c>
      <c r="E1" s="2" t="s">
        <v>43</v>
      </c>
      <c r="F1" s="2" t="s">
        <v>3</v>
      </c>
      <c r="G1" s="2" t="s">
        <v>44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5" t="s">
        <v>45</v>
      </c>
      <c r="P1" s="5" t="s">
        <v>46</v>
      </c>
      <c r="Q1" s="5" t="s">
        <v>47</v>
      </c>
      <c r="R1" s="5" t="s">
        <v>48</v>
      </c>
    </row>
    <row r="2" spans="1:18" x14ac:dyDescent="0.35">
      <c r="A2" t="s">
        <v>11</v>
      </c>
      <c r="B2" t="s">
        <v>12</v>
      </c>
      <c r="C2" t="s">
        <v>13</v>
      </c>
      <c r="D2">
        <v>48.25</v>
      </c>
      <c r="E2">
        <v>500</v>
      </c>
      <c r="F2">
        <f>D2*E2</f>
        <v>24125</v>
      </c>
      <c r="G2">
        <v>3875</v>
      </c>
      <c r="H2">
        <f>F2+G2</f>
        <v>28000</v>
      </c>
      <c r="I2">
        <v>11800</v>
      </c>
      <c r="J2" s="4">
        <v>2850</v>
      </c>
      <c r="K2" s="4">
        <v>1725</v>
      </c>
      <c r="L2" s="3">
        <f>K2/E2</f>
        <v>3.45</v>
      </c>
      <c r="M2" s="1">
        <v>0.125</v>
      </c>
      <c r="N2" s="1">
        <f>J2/I2</f>
        <v>0.24152542372881355</v>
      </c>
      <c r="O2" s="8">
        <f>D2/L2</f>
        <v>13.985507246376811</v>
      </c>
      <c r="P2" s="6">
        <f>H2/I2</f>
        <v>2.3728813559322033</v>
      </c>
      <c r="Q2" s="6">
        <f>H2/J2</f>
        <v>9.8245614035087723</v>
      </c>
      <c r="R2" s="7">
        <f>K2/I2</f>
        <v>0.1461864406779661</v>
      </c>
    </row>
    <row r="3" spans="1:18" x14ac:dyDescent="0.35">
      <c r="A3" t="s">
        <v>14</v>
      </c>
      <c r="B3" t="s">
        <v>15</v>
      </c>
      <c r="C3" t="s">
        <v>13</v>
      </c>
      <c r="D3">
        <v>36.799999999999997</v>
      </c>
      <c r="E3">
        <v>450</v>
      </c>
      <c r="F3">
        <f t="shared" ref="F3:F16" si="0">D3*E3</f>
        <v>16560</v>
      </c>
      <c r="G3">
        <v>3875</v>
      </c>
      <c r="H3">
        <f t="shared" ref="H3:H16" si="1">F3+G3</f>
        <v>20435</v>
      </c>
      <c r="I3">
        <v>11800</v>
      </c>
      <c r="J3" s="4">
        <v>2180</v>
      </c>
      <c r="K3" s="4">
        <v>1310</v>
      </c>
      <c r="L3" s="3">
        <f t="shared" ref="L3:L16" si="2">K3/E3</f>
        <v>2.911111111111111</v>
      </c>
      <c r="M3" s="1">
        <v>0.125</v>
      </c>
      <c r="N3" s="1">
        <f t="shared" ref="N3:N16" si="3">J3/I3</f>
        <v>0.18474576271186441</v>
      </c>
      <c r="O3" s="6">
        <f t="shared" ref="O3:O16" si="4">D3/L3</f>
        <v>12.6412213740458</v>
      </c>
      <c r="P3" s="6">
        <f t="shared" ref="P3:P16" si="5">H3/I3</f>
        <v>1.7317796610169491</v>
      </c>
      <c r="Q3" s="6">
        <f t="shared" ref="Q3:Q16" si="6">H3/J3</f>
        <v>9.373853211009175</v>
      </c>
      <c r="R3" s="7">
        <f t="shared" ref="R3:R16" si="7">K3/I3</f>
        <v>0.11101694915254237</v>
      </c>
    </row>
    <row r="4" spans="1:18" x14ac:dyDescent="0.35">
      <c r="A4" t="s">
        <v>16</v>
      </c>
      <c r="B4" t="s">
        <v>17</v>
      </c>
      <c r="C4" t="s">
        <v>13</v>
      </c>
      <c r="D4">
        <v>29.6</v>
      </c>
      <c r="E4">
        <v>600</v>
      </c>
      <c r="F4">
        <f t="shared" si="0"/>
        <v>17760</v>
      </c>
      <c r="G4">
        <v>3875</v>
      </c>
      <c r="H4">
        <f t="shared" si="1"/>
        <v>21635</v>
      </c>
      <c r="I4">
        <v>11800</v>
      </c>
      <c r="J4" s="4">
        <v>1825</v>
      </c>
      <c r="K4" s="4">
        <v>980</v>
      </c>
      <c r="L4" s="3">
        <f t="shared" si="2"/>
        <v>1.6333333333333333</v>
      </c>
      <c r="M4" s="1">
        <v>0.125</v>
      </c>
      <c r="N4" s="1">
        <f t="shared" si="3"/>
        <v>0.15466101694915255</v>
      </c>
      <c r="O4" s="6">
        <f t="shared" si="4"/>
        <v>18.122448979591837</v>
      </c>
      <c r="P4" s="6">
        <f t="shared" si="5"/>
        <v>1.8334745762711864</v>
      </c>
      <c r="Q4" s="6">
        <f t="shared" si="6"/>
        <v>11.854794520547944</v>
      </c>
      <c r="R4" s="7">
        <f t="shared" si="7"/>
        <v>8.3050847457627114E-2</v>
      </c>
    </row>
    <row r="5" spans="1:18" x14ac:dyDescent="0.35">
      <c r="A5" t="s">
        <v>18</v>
      </c>
      <c r="B5" t="s">
        <v>19</v>
      </c>
      <c r="C5" t="s">
        <v>13</v>
      </c>
      <c r="D5">
        <v>22.4</v>
      </c>
      <c r="E5">
        <v>400</v>
      </c>
      <c r="F5">
        <f t="shared" si="0"/>
        <v>8960</v>
      </c>
      <c r="G5">
        <v>3875</v>
      </c>
      <c r="H5">
        <f t="shared" si="1"/>
        <v>12835</v>
      </c>
      <c r="I5">
        <v>11800</v>
      </c>
      <c r="J5" s="4">
        <v>1240</v>
      </c>
      <c r="K5" s="4">
        <v>710</v>
      </c>
      <c r="L5" s="3">
        <f t="shared" si="2"/>
        <v>1.7749999999999999</v>
      </c>
      <c r="M5" s="1">
        <v>0.125</v>
      </c>
      <c r="N5" s="1">
        <f t="shared" si="3"/>
        <v>0.10508474576271186</v>
      </c>
      <c r="O5" s="6">
        <f t="shared" si="4"/>
        <v>12.619718309859154</v>
      </c>
      <c r="P5" s="6">
        <f t="shared" si="5"/>
        <v>1.0877118644067796</v>
      </c>
      <c r="Q5" s="6">
        <f t="shared" si="6"/>
        <v>10.350806451612904</v>
      </c>
      <c r="R5" s="7">
        <f t="shared" si="7"/>
        <v>6.0169491525423731E-2</v>
      </c>
    </row>
    <row r="6" spans="1:18" x14ac:dyDescent="0.35">
      <c r="A6" t="s">
        <v>20</v>
      </c>
      <c r="B6" t="s">
        <v>21</v>
      </c>
      <c r="C6" t="s">
        <v>13</v>
      </c>
      <c r="D6">
        <v>62.15</v>
      </c>
      <c r="E6">
        <v>700</v>
      </c>
      <c r="F6">
        <f t="shared" si="0"/>
        <v>43505</v>
      </c>
      <c r="G6">
        <v>3875</v>
      </c>
      <c r="H6">
        <f t="shared" si="1"/>
        <v>47380</v>
      </c>
      <c r="I6">
        <v>11800</v>
      </c>
      <c r="J6" s="4">
        <v>3360</v>
      </c>
      <c r="K6" s="4">
        <v>2140</v>
      </c>
      <c r="L6" s="3">
        <f t="shared" si="2"/>
        <v>3.0571428571428569</v>
      </c>
      <c r="M6" s="1">
        <v>0.125</v>
      </c>
      <c r="N6" s="1">
        <f t="shared" si="3"/>
        <v>0.28474576271186441</v>
      </c>
      <c r="O6" s="6">
        <f t="shared" si="4"/>
        <v>20.329439252336449</v>
      </c>
      <c r="P6" s="6">
        <f t="shared" si="5"/>
        <v>4.0152542372881355</v>
      </c>
      <c r="Q6" s="6">
        <f t="shared" si="6"/>
        <v>14.101190476190476</v>
      </c>
      <c r="R6" s="7">
        <f t="shared" si="7"/>
        <v>0.18135593220338983</v>
      </c>
    </row>
    <row r="7" spans="1:18" x14ac:dyDescent="0.35">
      <c r="A7" t="s">
        <v>22</v>
      </c>
      <c r="B7" t="s">
        <v>23</v>
      </c>
      <c r="C7" t="s">
        <v>13</v>
      </c>
      <c r="D7">
        <v>18.75</v>
      </c>
      <c r="E7">
        <v>350</v>
      </c>
      <c r="F7">
        <f t="shared" si="0"/>
        <v>6562.5</v>
      </c>
      <c r="G7">
        <v>3875</v>
      </c>
      <c r="H7">
        <f t="shared" si="1"/>
        <v>10437.5</v>
      </c>
      <c r="I7">
        <v>11800</v>
      </c>
      <c r="J7" s="4">
        <v>910</v>
      </c>
      <c r="K7" s="4">
        <v>515</v>
      </c>
      <c r="L7" s="3">
        <f t="shared" si="2"/>
        <v>1.4714285714285715</v>
      </c>
      <c r="M7" s="1">
        <v>0.125</v>
      </c>
      <c r="N7" s="1">
        <f t="shared" si="3"/>
        <v>7.7118644067796616E-2</v>
      </c>
      <c r="O7" s="6">
        <f t="shared" si="4"/>
        <v>12.742718446601941</v>
      </c>
      <c r="P7" s="6">
        <f t="shared" si="5"/>
        <v>0.88453389830508478</v>
      </c>
      <c r="Q7" s="6">
        <f t="shared" si="6"/>
        <v>11.469780219780219</v>
      </c>
      <c r="R7" s="7">
        <f t="shared" si="7"/>
        <v>4.3644067796610168E-2</v>
      </c>
    </row>
    <row r="8" spans="1:18" x14ac:dyDescent="0.35">
      <c r="A8" t="s">
        <v>24</v>
      </c>
      <c r="B8" t="s">
        <v>25</v>
      </c>
      <c r="C8" t="s">
        <v>13</v>
      </c>
      <c r="D8">
        <v>31.4</v>
      </c>
      <c r="E8">
        <v>550</v>
      </c>
      <c r="F8">
        <f t="shared" si="0"/>
        <v>17270</v>
      </c>
      <c r="G8">
        <v>3875</v>
      </c>
      <c r="H8">
        <f t="shared" si="1"/>
        <v>21145</v>
      </c>
      <c r="I8">
        <v>11800</v>
      </c>
      <c r="J8" s="4">
        <v>1580</v>
      </c>
      <c r="K8" s="4">
        <v>860</v>
      </c>
      <c r="L8" s="3">
        <f t="shared" si="2"/>
        <v>1.5636363636363637</v>
      </c>
      <c r="M8" s="1">
        <v>0.125</v>
      </c>
      <c r="N8" s="1">
        <f t="shared" si="3"/>
        <v>0.13389830508474576</v>
      </c>
      <c r="O8" s="6">
        <f t="shared" si="4"/>
        <v>20.081395348837209</v>
      </c>
      <c r="P8" s="6">
        <f t="shared" si="5"/>
        <v>1.791949152542373</v>
      </c>
      <c r="Q8" s="6">
        <f t="shared" si="6"/>
        <v>13.382911392405063</v>
      </c>
      <c r="R8" s="7">
        <f t="shared" si="7"/>
        <v>7.2881355932203393E-2</v>
      </c>
    </row>
    <row r="9" spans="1:18" x14ac:dyDescent="0.35">
      <c r="A9" t="s">
        <v>26</v>
      </c>
      <c r="B9" t="s">
        <v>27</v>
      </c>
      <c r="C9" t="s">
        <v>13</v>
      </c>
      <c r="D9">
        <v>45.1</v>
      </c>
      <c r="E9">
        <v>520</v>
      </c>
      <c r="F9">
        <f t="shared" si="0"/>
        <v>23452</v>
      </c>
      <c r="G9">
        <v>3875</v>
      </c>
      <c r="H9">
        <f t="shared" si="1"/>
        <v>27327</v>
      </c>
      <c r="I9">
        <v>11800</v>
      </c>
      <c r="J9" s="4">
        <v>2520</v>
      </c>
      <c r="K9" s="4">
        <v>1480</v>
      </c>
      <c r="L9" s="3">
        <f t="shared" si="2"/>
        <v>2.8461538461538463</v>
      </c>
      <c r="M9" s="1">
        <v>0.125</v>
      </c>
      <c r="N9" s="1">
        <f t="shared" si="3"/>
        <v>0.2135593220338983</v>
      </c>
      <c r="O9" s="6">
        <f t="shared" si="4"/>
        <v>15.845945945945946</v>
      </c>
      <c r="P9" s="6">
        <f t="shared" si="5"/>
        <v>2.3158474576271186</v>
      </c>
      <c r="Q9" s="6">
        <f t="shared" si="6"/>
        <v>10.844047619047618</v>
      </c>
      <c r="R9" s="7">
        <f t="shared" si="7"/>
        <v>0.12542372881355932</v>
      </c>
    </row>
    <row r="10" spans="1:18" x14ac:dyDescent="0.35">
      <c r="A10" t="s">
        <v>28</v>
      </c>
      <c r="B10" t="s">
        <v>29</v>
      </c>
      <c r="C10" t="s">
        <v>13</v>
      </c>
      <c r="D10">
        <v>88.2</v>
      </c>
      <c r="E10">
        <v>750</v>
      </c>
      <c r="F10">
        <f t="shared" si="0"/>
        <v>66150</v>
      </c>
      <c r="G10">
        <v>3875</v>
      </c>
      <c r="H10">
        <f t="shared" si="1"/>
        <v>70025</v>
      </c>
      <c r="I10">
        <v>11800</v>
      </c>
      <c r="J10" s="4">
        <v>3725</v>
      </c>
      <c r="K10" s="4">
        <v>2410</v>
      </c>
      <c r="L10" s="3">
        <f t="shared" si="2"/>
        <v>3.2133333333333334</v>
      </c>
      <c r="M10" s="1">
        <v>0.125</v>
      </c>
      <c r="N10" s="1">
        <f t="shared" si="3"/>
        <v>0.31567796610169491</v>
      </c>
      <c r="O10" s="6">
        <f t="shared" si="4"/>
        <v>27.44813278008299</v>
      </c>
      <c r="P10" s="6">
        <f t="shared" si="5"/>
        <v>5.9343220338983054</v>
      </c>
      <c r="Q10" s="6">
        <f t="shared" si="6"/>
        <v>18.798657718120804</v>
      </c>
      <c r="R10" s="7">
        <f t="shared" si="7"/>
        <v>0.20423728813559322</v>
      </c>
    </row>
    <row r="11" spans="1:18" x14ac:dyDescent="0.35">
      <c r="A11" t="s">
        <v>30</v>
      </c>
      <c r="B11" t="s">
        <v>31</v>
      </c>
      <c r="C11" t="s">
        <v>13</v>
      </c>
      <c r="D11">
        <v>16.899999999999999</v>
      </c>
      <c r="E11">
        <v>300</v>
      </c>
      <c r="F11">
        <f t="shared" si="0"/>
        <v>5070</v>
      </c>
      <c r="G11">
        <v>3875</v>
      </c>
      <c r="H11">
        <f t="shared" si="1"/>
        <v>8945</v>
      </c>
      <c r="I11">
        <v>11800</v>
      </c>
      <c r="J11" s="4">
        <v>775</v>
      </c>
      <c r="K11" s="4">
        <v>420</v>
      </c>
      <c r="L11" s="3">
        <f t="shared" si="2"/>
        <v>1.4</v>
      </c>
      <c r="M11" s="1">
        <v>0.125</v>
      </c>
      <c r="N11" s="1">
        <f t="shared" si="3"/>
        <v>6.5677966101694921E-2</v>
      </c>
      <c r="O11" s="6">
        <f t="shared" si="4"/>
        <v>12.071428571428571</v>
      </c>
      <c r="P11" s="6">
        <f t="shared" si="5"/>
        <v>0.75805084745762707</v>
      </c>
      <c r="Q11" s="6">
        <f t="shared" si="6"/>
        <v>11.541935483870967</v>
      </c>
      <c r="R11" s="7">
        <f t="shared" si="7"/>
        <v>3.5593220338983052E-2</v>
      </c>
    </row>
    <row r="12" spans="1:18" x14ac:dyDescent="0.35">
      <c r="A12" t="s">
        <v>32</v>
      </c>
      <c r="B12" t="s">
        <v>33</v>
      </c>
      <c r="C12" t="s">
        <v>13</v>
      </c>
      <c r="D12">
        <v>38.6</v>
      </c>
      <c r="E12">
        <v>480</v>
      </c>
      <c r="F12">
        <f t="shared" si="0"/>
        <v>18528</v>
      </c>
      <c r="G12">
        <v>3875</v>
      </c>
      <c r="H12">
        <f t="shared" si="1"/>
        <v>22403</v>
      </c>
      <c r="I12">
        <v>11800</v>
      </c>
      <c r="J12" s="4">
        <v>1740</v>
      </c>
      <c r="K12" s="4">
        <v>995</v>
      </c>
      <c r="L12" s="3">
        <f t="shared" si="2"/>
        <v>2.0729166666666665</v>
      </c>
      <c r="M12" s="1">
        <v>0.125</v>
      </c>
      <c r="N12" s="1">
        <f t="shared" si="3"/>
        <v>0.14745762711864407</v>
      </c>
      <c r="O12" s="6">
        <f t="shared" si="4"/>
        <v>18.621105527638193</v>
      </c>
      <c r="P12" s="6">
        <f t="shared" si="5"/>
        <v>1.8985593220338983</v>
      </c>
      <c r="Q12" s="6">
        <f t="shared" si="6"/>
        <v>12.87528735632184</v>
      </c>
      <c r="R12" s="7">
        <f t="shared" si="7"/>
        <v>8.4322033898305088E-2</v>
      </c>
    </row>
    <row r="13" spans="1:18" x14ac:dyDescent="0.35">
      <c r="A13" t="s">
        <v>34</v>
      </c>
      <c r="B13" t="s">
        <v>35</v>
      </c>
      <c r="C13" t="s">
        <v>13</v>
      </c>
      <c r="D13">
        <v>52.3</v>
      </c>
      <c r="E13">
        <v>510</v>
      </c>
      <c r="F13">
        <f t="shared" si="0"/>
        <v>26673</v>
      </c>
      <c r="G13">
        <v>3875</v>
      </c>
      <c r="H13">
        <f t="shared" si="1"/>
        <v>30548</v>
      </c>
      <c r="I13">
        <v>11800</v>
      </c>
      <c r="J13" s="4">
        <v>2300</v>
      </c>
      <c r="K13" s="4">
        <v>1365</v>
      </c>
      <c r="L13" s="3">
        <f t="shared" si="2"/>
        <v>2.6764705882352939</v>
      </c>
      <c r="M13" s="1">
        <v>0.125</v>
      </c>
      <c r="N13" s="1">
        <f t="shared" si="3"/>
        <v>0.19491525423728814</v>
      </c>
      <c r="O13" s="6">
        <f t="shared" si="4"/>
        <v>19.540659340659342</v>
      </c>
      <c r="P13" s="6">
        <f t="shared" si="5"/>
        <v>2.5888135593220341</v>
      </c>
      <c r="Q13" s="6">
        <f t="shared" si="6"/>
        <v>13.281739130434783</v>
      </c>
      <c r="R13" s="7">
        <f t="shared" si="7"/>
        <v>0.11567796610169491</v>
      </c>
    </row>
    <row r="14" spans="1:18" x14ac:dyDescent="0.35">
      <c r="A14" t="s">
        <v>36</v>
      </c>
      <c r="B14" t="s">
        <v>37</v>
      </c>
      <c r="C14" t="s">
        <v>13</v>
      </c>
      <c r="D14">
        <v>24.75</v>
      </c>
      <c r="E14">
        <v>420</v>
      </c>
      <c r="F14">
        <f t="shared" si="0"/>
        <v>10395</v>
      </c>
      <c r="G14">
        <v>3875</v>
      </c>
      <c r="H14">
        <f t="shared" si="1"/>
        <v>14270</v>
      </c>
      <c r="I14">
        <v>11800</v>
      </c>
      <c r="J14" s="4">
        <v>1010</v>
      </c>
      <c r="K14" s="4">
        <v>575</v>
      </c>
      <c r="L14" s="3">
        <f t="shared" si="2"/>
        <v>1.3690476190476191</v>
      </c>
      <c r="M14" s="1">
        <v>0.125</v>
      </c>
      <c r="N14" s="1">
        <f t="shared" si="3"/>
        <v>8.5593220338983048E-2</v>
      </c>
      <c r="O14" s="6">
        <f t="shared" si="4"/>
        <v>18.078260869565216</v>
      </c>
      <c r="P14" s="6">
        <f t="shared" si="5"/>
        <v>1.2093220338983051</v>
      </c>
      <c r="Q14" s="6">
        <f t="shared" si="6"/>
        <v>14.128712871287128</v>
      </c>
      <c r="R14" s="7">
        <f t="shared" si="7"/>
        <v>4.8728813559322036E-2</v>
      </c>
    </row>
    <row r="15" spans="1:18" x14ac:dyDescent="0.35">
      <c r="A15" t="s">
        <v>38</v>
      </c>
      <c r="B15" t="s">
        <v>39</v>
      </c>
      <c r="C15" t="s">
        <v>13</v>
      </c>
      <c r="D15">
        <v>34.1</v>
      </c>
      <c r="E15">
        <v>460</v>
      </c>
      <c r="F15">
        <f t="shared" si="0"/>
        <v>15686</v>
      </c>
      <c r="G15">
        <v>3875</v>
      </c>
      <c r="H15">
        <f t="shared" si="1"/>
        <v>19561</v>
      </c>
      <c r="I15">
        <v>11800</v>
      </c>
      <c r="J15" s="4">
        <v>1390</v>
      </c>
      <c r="K15" s="4">
        <v>805</v>
      </c>
      <c r="L15" s="3">
        <f t="shared" si="2"/>
        <v>1.75</v>
      </c>
      <c r="M15" s="1">
        <v>0.125</v>
      </c>
      <c r="N15" s="1">
        <f t="shared" si="3"/>
        <v>0.11779661016949153</v>
      </c>
      <c r="O15" s="6">
        <f t="shared" si="4"/>
        <v>19.485714285714288</v>
      </c>
      <c r="P15" s="6">
        <f t="shared" si="5"/>
        <v>1.6577118644067796</v>
      </c>
      <c r="Q15" s="6">
        <f t="shared" si="6"/>
        <v>14.072661870503596</v>
      </c>
      <c r="R15" s="7">
        <f t="shared" si="7"/>
        <v>6.8220338983050841E-2</v>
      </c>
    </row>
    <row r="16" spans="1:18" x14ac:dyDescent="0.35">
      <c r="A16" t="s">
        <v>40</v>
      </c>
      <c r="B16" t="s">
        <v>41</v>
      </c>
      <c r="C16" t="s">
        <v>13</v>
      </c>
      <c r="D16">
        <v>41.8</v>
      </c>
      <c r="E16">
        <v>530</v>
      </c>
      <c r="F16">
        <f t="shared" si="0"/>
        <v>22154</v>
      </c>
      <c r="G16">
        <v>3875</v>
      </c>
      <c r="H16">
        <f t="shared" si="1"/>
        <v>26029</v>
      </c>
      <c r="I16">
        <v>11800</v>
      </c>
      <c r="J16" s="4">
        <v>2070</v>
      </c>
      <c r="K16" s="4">
        <v>1185</v>
      </c>
      <c r="L16" s="3">
        <f t="shared" si="2"/>
        <v>2.2358490566037736</v>
      </c>
      <c r="M16" s="1">
        <v>0.125</v>
      </c>
      <c r="N16" s="1">
        <f t="shared" si="3"/>
        <v>0.17542372881355933</v>
      </c>
      <c r="O16" s="6">
        <f t="shared" si="4"/>
        <v>18.695358649789029</v>
      </c>
      <c r="P16" s="6">
        <f t="shared" si="5"/>
        <v>2.2058474576271188</v>
      </c>
      <c r="Q16" s="6">
        <f t="shared" si="6"/>
        <v>12.574396135265701</v>
      </c>
      <c r="R16" s="7">
        <f t="shared" si="7"/>
        <v>0.10042372881355932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Jeb Dee</dc:creator>
  <cp:lastModifiedBy>Jeb Dee</cp:lastModifiedBy>
  <dcterms:created xsi:type="dcterms:W3CDTF">2026-05-26T21:22:56Z</dcterms:created>
  <dcterms:modified xsi:type="dcterms:W3CDTF">2026-05-26T21:53:03Z</dcterms:modified>
</cp:coreProperties>
</file>